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heinz365-my.sharepoint.com/personal/william_boyer_kraftheinz_com/Documents/Documents/"/>
    </mc:Choice>
  </mc:AlternateContent>
  <xr:revisionPtr revIDLastSave="0" documentId="8_{34FB3497-98E2-4E8E-A371-A7AF05B4FF67}" xr6:coauthVersionLast="47" xr6:coauthVersionMax="47" xr10:uidLastSave="{00000000-0000-0000-0000-000000000000}"/>
  <bookViews>
    <workbookView xWindow="11280" yWindow="4170" windowWidth="28770" windowHeight="15450" xr2:uid="{03DD04D5-85C1-44D8-9942-A286234257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H5" i="1"/>
  <c r="H8" i="1"/>
  <c r="H9" i="1"/>
  <c r="H10" i="1"/>
  <c r="H11" i="1"/>
  <c r="H12" i="1"/>
  <c r="H7" i="1"/>
  <c r="N7" i="1"/>
  <c r="M12" i="1"/>
  <c r="R8" i="1"/>
  <c r="R9" i="1"/>
  <c r="R10" i="1"/>
  <c r="R11" i="1"/>
  <c r="R7" i="1"/>
  <c r="N8" i="1"/>
  <c r="N9" i="1"/>
  <c r="N10" i="1"/>
  <c r="N11" i="1"/>
  <c r="P7" i="1"/>
  <c r="H6" i="1"/>
  <c r="M6" i="1"/>
  <c r="P8" i="1"/>
  <c r="P9" i="1"/>
  <c r="P10" i="1"/>
  <c r="P11" i="1"/>
  <c r="P12" i="1"/>
  <c r="M8" i="1"/>
  <c r="M9" i="1"/>
  <c r="M10" i="1"/>
  <c r="M11" i="1"/>
  <c r="M7" i="1"/>
  <c r="E6" i="1"/>
  <c r="G8" i="1" s="1"/>
  <c r="Q7" i="1" l="1"/>
  <c r="Q11" i="1"/>
  <c r="Q10" i="1"/>
  <c r="Q9" i="1"/>
  <c r="Q8" i="1"/>
  <c r="I7" i="1"/>
  <c r="G9" i="1"/>
  <c r="I8" i="1" l="1"/>
  <c r="G10" i="1"/>
  <c r="I9" i="1" l="1"/>
  <c r="G11" i="1"/>
  <c r="I10" i="1" l="1"/>
  <c r="G12" i="1"/>
  <c r="I11" i="1" l="1"/>
</calcChain>
</file>

<file path=xl/sharedStrings.xml><?xml version="1.0" encoding="utf-8"?>
<sst xmlns="http://schemas.openxmlformats.org/spreadsheetml/2006/main" count="27" uniqueCount="19">
  <si>
    <t>Peak HP</t>
  </si>
  <si>
    <t>Peak TQ</t>
  </si>
  <si>
    <t>Rev Limiter</t>
  </si>
  <si>
    <t>At</t>
  </si>
  <si>
    <t>After Shift</t>
  </si>
  <si>
    <t>Before Shift</t>
  </si>
  <si>
    <t>Custom Tune</t>
  </si>
  <si>
    <t>Ratio</t>
  </si>
  <si>
    <t>RPM Drop</t>
  </si>
  <si>
    <t>RPM Before</t>
  </si>
  <si>
    <t>RPM After</t>
  </si>
  <si>
    <t>Gear</t>
  </si>
  <si>
    <t>1st Gear</t>
  </si>
  <si>
    <t>2nd Gear</t>
  </si>
  <si>
    <t>3rd Gear</t>
  </si>
  <si>
    <t>4th Gear</t>
  </si>
  <si>
    <t>5th Gear</t>
  </si>
  <si>
    <t>6th Gear</t>
  </si>
  <si>
    <t>Final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</si>
</sst>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RPM&quot;"/>
    <numFmt numFmtId="165" formatCode="0.00\ &quot;MPH&quot;"/>
    <numFmt numFmtId="166" formatCode="0.00\ &quot;RPM&quot;"/>
    <numFmt numFmtId="167" formatCode="0\ &quot;MPH&quot;"/>
  </numFmts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7" xfId="0" applyNumberFormat="1" applyBorder="1"/>
    <xf numFmtId="0" fontId="0" fillId="0" borderId="7" xfId="0" applyBorder="1"/>
    <xf numFmtId="0" fontId="0" fillId="0" borderId="8" xfId="0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E692-E53D-420A-9037-AF06CA229187}">
  <dimension ref="A1:R13"/>
  <sheetViews>
    <sheetView tabSelected="1" workbookViewId="0">
      <selection activeCell="G17" sqref="G17"/>
    </sheetView>
  </sheetViews>
  <sheetFormatPr defaultRowHeight="15"/>
  <cols>
    <col min="4" max="4" width="16.28515625" bestFit="1" customWidth="1"/>
    <col min="6" max="6" width="10.28515625" bestFit="1" customWidth="1"/>
    <col min="7" max="7" width="9.140625" style="1"/>
    <col min="8" max="8" width="22.140625" bestFit="1" customWidth="1"/>
    <col min="9" max="9" width="13" customWidth="1"/>
    <col min="11" max="11" width="12.42578125" bestFit="1" customWidth="1"/>
    <col min="13" max="13" width="21.85546875" bestFit="1" customWidth="1"/>
    <col min="14" max="15" width="12.85546875" customWidth="1"/>
    <col min="16" max="16" width="10.85546875" bestFit="1" customWidth="1"/>
    <col min="17" max="17" width="11.85546875" bestFit="1" customWidth="1"/>
    <col min="18" max="18" width="11" bestFit="1" customWidth="1"/>
  </cols>
  <sheetData>
    <row r="1" spans="1:18">
      <c r="B1" t="s">
        <v>0</v>
      </c>
      <c r="C1" t="s">
        <v>1</v>
      </c>
      <c r="D1" t="s">
        <v>2</v>
      </c>
    </row>
    <row r="2" spans="1:18">
      <c r="B2">
        <v>3369</v>
      </c>
      <c r="C2">
        <v>1649</v>
      </c>
      <c r="D2">
        <v>9300</v>
      </c>
    </row>
    <row r="3" spans="1:18">
      <c r="A3" t="s">
        <v>3</v>
      </c>
      <c r="B3">
        <v>8228</v>
      </c>
      <c r="C3">
        <v>8995</v>
      </c>
    </row>
    <row r="4" spans="1:18" ht="15.75" thickBot="1">
      <c r="D4" t="s">
        <v>4</v>
      </c>
      <c r="E4">
        <v>7100</v>
      </c>
    </row>
    <row r="5" spans="1:18">
      <c r="D5" t="s">
        <v>5</v>
      </c>
      <c r="E5">
        <v>8200</v>
      </c>
      <c r="H5" t="str">
        <f>"+/- ~5mph"</f>
        <v>+/- ~5mph</v>
      </c>
      <c r="K5" s="5" t="s">
        <v>6</v>
      </c>
      <c r="L5" s="6"/>
      <c r="M5" t="str">
        <f>"+/- ~5mph"</f>
        <v>+/- ~5mph</v>
      </c>
      <c r="N5" s="6"/>
      <c r="O5" s="6"/>
      <c r="P5" s="6"/>
      <c r="Q5" s="6"/>
      <c r="R5" s="7"/>
    </row>
    <row r="6" spans="1:18">
      <c r="D6" t="s">
        <v>7</v>
      </c>
      <c r="E6">
        <f>E4/E5</f>
        <v>0.86585365853658536</v>
      </c>
      <c r="H6" t="str">
        <f>"Top Speed @ " &amp; $E$5 &amp; "RPM"</f>
        <v>Top Speed @ 8200RPM</v>
      </c>
      <c r="I6" t="s">
        <v>8</v>
      </c>
      <c r="K6" s="8"/>
      <c r="M6" t="str">
        <f>"Top Speed @ " &amp; $E$5 &amp; "RPM"</f>
        <v>Top Speed @ 8200RPM</v>
      </c>
      <c r="N6" t="s">
        <v>8</v>
      </c>
      <c r="P6" t="s">
        <v>9</v>
      </c>
      <c r="Q6" t="s">
        <v>10</v>
      </c>
      <c r="R6" s="9" t="s">
        <v>11</v>
      </c>
    </row>
    <row r="7" spans="1:18">
      <c r="F7" t="s">
        <v>12</v>
      </c>
      <c r="G7" s="1">
        <v>3.5</v>
      </c>
      <c r="H7" s="14">
        <f>($E$5*3.1416*22.96)/($G7*$G$13*1056)</f>
        <v>64.012479999999996</v>
      </c>
      <c r="I7" s="2">
        <f>$E$5-($E$5*(G8/G7))</f>
        <v>1100</v>
      </c>
      <c r="K7" s="8" t="s">
        <v>12</v>
      </c>
      <c r="L7" s="1">
        <v>1.61</v>
      </c>
      <c r="M7" s="4">
        <f>($E$5*3.1416*22.96)/($L7*$L$13*1056)</f>
        <v>77.481940544204491</v>
      </c>
      <c r="N7" s="2">
        <f>$E$5-($E$5*(L8/L7))</f>
        <v>1069.5652173913059</v>
      </c>
      <c r="O7" s="2"/>
      <c r="P7" s="2">
        <f t="shared" ref="P7:P12" si="0">$E$5</f>
        <v>8200</v>
      </c>
      <c r="Q7" s="2">
        <f>ROUND($P7-$N7,2)</f>
        <v>7130.43</v>
      </c>
      <c r="R7" s="9" t="str">
        <f>"in " &amp; $K8</f>
        <v>in 2nd Gear</v>
      </c>
    </row>
    <row r="8" spans="1:18">
      <c r="F8" t="s">
        <v>13</v>
      </c>
      <c r="G8" s="1">
        <f>$E$6*G7</f>
        <v>3.0304878048780486</v>
      </c>
      <c r="H8" s="14">
        <f t="shared" ref="H8:H12" si="1">($E$5*3.1416*22.96)/($G8*$G$13*1056)</f>
        <v>73.929906478873235</v>
      </c>
      <c r="I8" s="2">
        <f t="shared" ref="I8:I11" si="2">$E$5-($E$5*(G9/G8))</f>
        <v>1100</v>
      </c>
      <c r="K8" s="8" t="s">
        <v>13</v>
      </c>
      <c r="L8" s="1">
        <v>1.4</v>
      </c>
      <c r="M8" s="4">
        <f>($E$5*3.1416*22.96)/($L8*$L$13*1056)</f>
        <v>89.104231625835183</v>
      </c>
      <c r="N8" s="2">
        <f t="shared" ref="N8:N11" si="3">$E$5-($E$5*(L9/L8))</f>
        <v>1230</v>
      </c>
      <c r="O8" s="2"/>
      <c r="P8" s="2">
        <f t="shared" si="0"/>
        <v>8200</v>
      </c>
      <c r="Q8" s="2">
        <f t="shared" ref="Q8:Q11" si="4">ROUND($P8-$N8,2)</f>
        <v>6970</v>
      </c>
      <c r="R8" s="9" t="str">
        <f t="shared" ref="R8:R11" si="5">"in " &amp; $K9</f>
        <v>in 3rd Gear</v>
      </c>
    </row>
    <row r="9" spans="1:18">
      <c r="F9" t="s">
        <v>14</v>
      </c>
      <c r="G9" s="1">
        <f t="shared" ref="G9:G12" si="6">$E$6*G8</f>
        <v>2.623958953004164</v>
      </c>
      <c r="H9" s="14">
        <f t="shared" si="1"/>
        <v>85.383835651656412</v>
      </c>
      <c r="I9" s="2">
        <f t="shared" si="2"/>
        <v>1100</v>
      </c>
      <c r="K9" s="8" t="s">
        <v>14</v>
      </c>
      <c r="L9" s="1">
        <v>1.19</v>
      </c>
      <c r="M9" s="4">
        <f>($E$5*3.1416*22.96)/($L9*$L$13*1056)</f>
        <v>104.82850779510022</v>
      </c>
      <c r="N9" s="2">
        <f t="shared" si="3"/>
        <v>1240.3361344537807</v>
      </c>
      <c r="O9" s="2"/>
      <c r="P9" s="2">
        <f t="shared" si="0"/>
        <v>8200</v>
      </c>
      <c r="Q9" s="2">
        <f t="shared" si="4"/>
        <v>6959.66</v>
      </c>
      <c r="R9" s="9" t="str">
        <f t="shared" si="5"/>
        <v>in 4th Gear</v>
      </c>
    </row>
    <row r="10" spans="1:18">
      <c r="F10" t="s">
        <v>15</v>
      </c>
      <c r="G10" s="1">
        <f t="shared" si="6"/>
        <v>2.2719644593084833</v>
      </c>
      <c r="H10" s="14">
        <f t="shared" si="1"/>
        <v>98.612317231490522</v>
      </c>
      <c r="I10" s="2">
        <f t="shared" si="2"/>
        <v>1100</v>
      </c>
      <c r="K10" s="8" t="s">
        <v>15</v>
      </c>
      <c r="L10" s="1">
        <v>1.01</v>
      </c>
      <c r="M10" s="4">
        <f>($E$5*3.1416*22.96)/($L10*$L$13*1056)</f>
        <v>123.51081611501905</v>
      </c>
      <c r="N10" s="2">
        <f t="shared" si="3"/>
        <v>1217.8217821782182</v>
      </c>
      <c r="O10" s="2"/>
      <c r="P10" s="2">
        <f t="shared" si="0"/>
        <v>8200</v>
      </c>
      <c r="Q10" s="2">
        <f t="shared" si="4"/>
        <v>6982.18</v>
      </c>
      <c r="R10" s="9" t="str">
        <f t="shared" si="5"/>
        <v>in 5th Gear</v>
      </c>
    </row>
    <row r="11" spans="1:18">
      <c r="F11" t="s">
        <v>16</v>
      </c>
      <c r="G11" s="1">
        <f t="shared" si="6"/>
        <v>1.9671887391573453</v>
      </c>
      <c r="H11" s="14">
        <f t="shared" si="1"/>
        <v>113.89028187298905</v>
      </c>
      <c r="I11" s="2">
        <f t="shared" si="2"/>
        <v>1100</v>
      </c>
      <c r="K11" s="8" t="s">
        <v>16</v>
      </c>
      <c r="L11" s="1">
        <v>0.86</v>
      </c>
      <c r="M11" s="4">
        <f>($E$5*3.1416*22.96)/($L11*$L$13*1056)</f>
        <v>145.05340032112704</v>
      </c>
      <c r="N11" s="2">
        <f t="shared" si="3"/>
        <v>1048.8372093023254</v>
      </c>
      <c r="O11" s="2"/>
      <c r="P11" s="2">
        <f t="shared" si="0"/>
        <v>8200</v>
      </c>
      <c r="Q11" s="2">
        <f t="shared" si="4"/>
        <v>7151.16</v>
      </c>
      <c r="R11" s="9" t="str">
        <f t="shared" si="5"/>
        <v>in 6th Gear</v>
      </c>
    </row>
    <row r="12" spans="1:18">
      <c r="F12" t="s">
        <v>17</v>
      </c>
      <c r="G12" s="1">
        <f t="shared" si="6"/>
        <v>1.7032975668313599</v>
      </c>
      <c r="H12" s="14">
        <f t="shared" si="1"/>
        <v>131.53525512091693</v>
      </c>
      <c r="I12" s="3"/>
      <c r="K12" s="8" t="s">
        <v>17</v>
      </c>
      <c r="L12" s="1">
        <v>0.75</v>
      </c>
      <c r="M12" s="4">
        <f>($E$5*3.1416*22.96)/($L12*$L$13*1056)</f>
        <v>166.32789903489231</v>
      </c>
      <c r="N12" s="2"/>
      <c r="O12" s="2"/>
      <c r="P12" s="2">
        <f t="shared" si="0"/>
        <v>8200</v>
      </c>
      <c r="Q12" s="2"/>
      <c r="R12" s="9"/>
    </row>
    <row r="13" spans="1:18" ht="15.75" thickBot="1">
      <c r="F13" t="s">
        <v>18</v>
      </c>
      <c r="G13" s="1">
        <v>2.5</v>
      </c>
      <c r="K13" s="10" t="s">
        <v>18</v>
      </c>
      <c r="L13" s="11">
        <v>4.49</v>
      </c>
      <c r="M13" s="11"/>
      <c r="N13" s="12"/>
      <c r="O13" s="12"/>
      <c r="P13" s="12"/>
      <c r="Q13" s="12"/>
      <c r="R13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Boyer, William (Contractor)</dc:creator>
  <cp:keywords/>
  <dc:description/>
  <cp:lastModifiedBy/>
  <cp:revision/>
  <dcterms:created xsi:type="dcterms:W3CDTF">2025-11-06T22:32:16Z</dcterms:created>
  <dcterms:modified xsi:type="dcterms:W3CDTF">2025-11-07T12:57:16Z</dcterms:modified>
  <cp:category/>
  <cp:contentStatus/>
</cp:coreProperties>
</file>